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476701\Documents\Docs\IETF\NTPv5\"/>
    </mc:Choice>
  </mc:AlternateContent>
  <xr:revisionPtr revIDLastSave="0" documentId="13_ncr:1_{3956AA4C-3754-4C85-B6A0-6F2C5B4B51F0}" xr6:coauthVersionLast="36" xr6:coauthVersionMax="36" xr10:uidLastSave="{00000000-0000-0000-0000-000000000000}"/>
  <bookViews>
    <workbookView xWindow="0" yWindow="0" windowWidth="23016" windowHeight="8796" xr2:uid="{7E8B8046-9776-4051-889B-EFF904C6C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10" i="1" s="1"/>
  <c r="D4" i="1"/>
  <c r="D8" i="1" s="1"/>
  <c r="B9" i="1"/>
  <c r="B10" i="1"/>
  <c r="B8" i="1"/>
  <c r="C4" i="1"/>
  <c r="C9" i="1" s="1"/>
  <c r="B4" i="1"/>
  <c r="E9" i="1" l="1"/>
  <c r="E8" i="1"/>
  <c r="C8" i="1"/>
  <c r="C10" i="1"/>
  <c r="D10" i="1"/>
  <c r="D9" i="1"/>
</calcChain>
</file>

<file path=xl/sharedStrings.xml><?xml version="1.0" encoding="utf-8"?>
<sst xmlns="http://schemas.openxmlformats.org/spreadsheetml/2006/main" count="20" uniqueCount="17">
  <si>
    <t>Number of bits in REF ID</t>
  </si>
  <si>
    <t>Number of indices per REF ID</t>
  </si>
  <si>
    <t>Number of bits in Bloom filter</t>
  </si>
  <si>
    <t>Number of REF IDs</t>
  </si>
  <si>
    <t>Probability of false positive</t>
  </si>
  <si>
    <t>Existing</t>
  </si>
  <si>
    <t>Possible alternatives</t>
  </si>
  <si>
    <t>Probability of false positive - explanation</t>
  </si>
  <si>
    <t>m - number of bits in Bloom filter</t>
  </si>
  <si>
    <t>(1-1/m)</t>
  </si>
  <si>
    <t>n - number of REF IDs</t>
  </si>
  <si>
    <t>Probability that a bit in the Bloom filter remains 0 after inserting one bit into the filter (using one index)</t>
  </si>
  <si>
    <t>k - number of indices per REF ID</t>
  </si>
  <si>
    <t>(1-1/m)^(n*k)</t>
  </si>
  <si>
    <t>P = Probability that a bit in the Bloom filter remains 0 after inserting n REF IDS, using n*k indices</t>
  </si>
  <si>
    <t>Probability for false positive - probability that for a specific REF ID the k indices will hit a bit with '1'</t>
  </si>
  <si>
    <t>(1-P)^k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</si>
</sst>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49" fontId="0" fillId="0" borderId="4" xfId="0" applyNumberFormat="1" applyBorder="1"/>
    <xf numFmtId="49" fontId="0" fillId="0" borderId="5" xfId="0" applyNumberFormat="1" applyBorder="1"/>
    <xf numFmtId="0" fontId="0" fillId="0" borderId="5" xfId="0" applyBorder="1"/>
    <xf numFmtId="0" fontId="0" fillId="0" borderId="6" xfId="0" applyBorder="1"/>
    <xf numFmtId="49" fontId="0" fillId="0" borderId="7" xfId="0" applyNumberFormat="1" applyBorder="1"/>
    <xf numFmtId="49" fontId="0" fillId="0" borderId="0" xfId="0" applyNumberFormat="1" applyBorder="1"/>
    <xf numFmtId="0" fontId="0" fillId="0" borderId="0" xfId="0" applyBorder="1"/>
    <xf numFmtId="0" fontId="0" fillId="0" borderId="8" xfId="0" applyBorder="1"/>
    <xf numFmtId="49" fontId="0" fillId="0" borderId="9" xfId="0" applyNumberFormat="1" applyBorder="1"/>
    <xf numFmtId="49" fontId="0" fillId="0" borderId="10" xfId="0" applyNumberFormat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15E6-4694-4DB8-8CB4-E40A1A451F42}">
  <dimension ref="A1:F28"/>
  <sheetViews>
    <sheetView tabSelected="1" workbookViewId="0">
      <selection activeCell="B13" sqref="B13"/>
    </sheetView>
  </sheetViews>
  <sheetFormatPr defaultRowHeight="14.4" x14ac:dyDescent="0.3"/>
  <cols>
    <col min="1" max="1" width="29.33203125" customWidth="1"/>
    <col min="2" max="2" width="23.21875" customWidth="1"/>
    <col min="3" max="3" width="24.44140625" customWidth="1"/>
    <col min="4" max="5" width="23.33203125" bestFit="1" customWidth="1"/>
  </cols>
  <sheetData>
    <row r="1" spans="1:5" ht="15" thickBot="1" x14ac:dyDescent="0.35">
      <c r="B1" t="s">
        <v>5</v>
      </c>
      <c r="C1" s="4" t="s">
        <v>6</v>
      </c>
      <c r="D1" s="4"/>
      <c r="E1" s="4"/>
    </row>
    <row r="2" spans="1:5" x14ac:dyDescent="0.3">
      <c r="A2" t="s">
        <v>0</v>
      </c>
      <c r="B2" s="1">
        <v>120</v>
      </c>
      <c r="C2">
        <v>110</v>
      </c>
      <c r="D2">
        <v>100</v>
      </c>
      <c r="E2">
        <v>120</v>
      </c>
    </row>
    <row r="3" spans="1:5" x14ac:dyDescent="0.3">
      <c r="A3" t="s">
        <v>1</v>
      </c>
      <c r="B3" s="2">
        <v>10</v>
      </c>
      <c r="C3">
        <v>10</v>
      </c>
      <c r="D3">
        <v>10</v>
      </c>
      <c r="E3">
        <v>12</v>
      </c>
    </row>
    <row r="4" spans="1:5" ht="15" thickBot="1" x14ac:dyDescent="0.35">
      <c r="A4" t="s">
        <v>2</v>
      </c>
      <c r="B4" s="3">
        <f>2^(B2/B3)</f>
        <v>4096</v>
      </c>
      <c r="C4">
        <f>2^(C2/C3)</f>
        <v>2048</v>
      </c>
      <c r="D4">
        <f>2^(D2/D3)</f>
        <v>1024</v>
      </c>
      <c r="E4">
        <f>2^(E2/E3)</f>
        <v>1024</v>
      </c>
    </row>
    <row r="7" spans="1:5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</row>
    <row r="8" spans="1:5" x14ac:dyDescent="0.3">
      <c r="A8">
        <v>10</v>
      </c>
      <c r="B8">
        <f>(1-(1-(1/B$4))^(B$3*$A8))^B$3</f>
        <v>6.6683389565834438E-17</v>
      </c>
      <c r="C8">
        <f>(1-(1-(1/C$4))^(C$3*$A8))^C$3</f>
        <v>6.0553297250197824E-14</v>
      </c>
      <c r="D8">
        <f>(1-(1-(1/D$4))^(D$3*$A8))^D$3</f>
        <v>4.8830108838316343E-11</v>
      </c>
      <c r="E8">
        <f>(1-(1-(1/E$4))^(E$3*$A8))^E$3</f>
        <v>3.3619661136379071E-12</v>
      </c>
    </row>
    <row r="9" spans="1:5" x14ac:dyDescent="0.3">
      <c r="A9">
        <v>26</v>
      </c>
      <c r="B9">
        <f t="shared" ref="B9:E10" si="0">(1-(1-(1/B$4))^(B$3*$A9))^B$3</f>
        <v>7.7542364685432899E-13</v>
      </c>
      <c r="C9">
        <f t="shared" si="0"/>
        <v>5.8166033155304758E-10</v>
      </c>
      <c r="D9">
        <f t="shared" si="0"/>
        <v>3.2278000340845394E-7</v>
      </c>
      <c r="E9">
        <f t="shared" si="0"/>
        <v>1.0830081106188429E-7</v>
      </c>
    </row>
    <row r="10" spans="1:5" x14ac:dyDescent="0.3">
      <c r="A10">
        <v>118</v>
      </c>
      <c r="B10">
        <f t="shared" si="0"/>
        <v>9.6630720161232259E-7</v>
      </c>
      <c r="C10">
        <f t="shared" si="0"/>
        <v>2.6005831352176147E-4</v>
      </c>
      <c r="D10">
        <f t="shared" si="0"/>
        <v>2.2508833833034543E-2</v>
      </c>
      <c r="E10">
        <f t="shared" si="0"/>
        <v>3.1322118143219606E-2</v>
      </c>
    </row>
    <row r="17" spans="1:6" ht="15" thickBot="1" x14ac:dyDescent="0.35">
      <c r="A17" s="6" t="s">
        <v>7</v>
      </c>
      <c r="B17" s="5"/>
    </row>
    <row r="18" spans="1:6" x14ac:dyDescent="0.3">
      <c r="A18" s="7" t="s">
        <v>8</v>
      </c>
      <c r="B18" s="8"/>
      <c r="C18" s="9"/>
      <c r="D18" s="9"/>
      <c r="E18" s="9"/>
      <c r="F18" s="10"/>
    </row>
    <row r="19" spans="1:6" x14ac:dyDescent="0.3">
      <c r="A19" s="11" t="s">
        <v>12</v>
      </c>
      <c r="B19" s="12"/>
      <c r="C19" s="13"/>
      <c r="D19" s="13"/>
      <c r="E19" s="13"/>
      <c r="F19" s="14"/>
    </row>
    <row r="20" spans="1:6" x14ac:dyDescent="0.3">
      <c r="A20" s="11" t="s">
        <v>10</v>
      </c>
      <c r="B20" s="12"/>
      <c r="C20" s="13"/>
      <c r="D20" s="13"/>
      <c r="E20" s="13"/>
      <c r="F20" s="14"/>
    </row>
    <row r="21" spans="1:6" x14ac:dyDescent="0.3">
      <c r="A21" s="11"/>
      <c r="B21" s="12"/>
      <c r="C21" s="13"/>
      <c r="D21" s="13"/>
      <c r="E21" s="13"/>
      <c r="F21" s="14"/>
    </row>
    <row r="22" spans="1:6" x14ac:dyDescent="0.3">
      <c r="A22" s="11" t="s">
        <v>9</v>
      </c>
      <c r="B22" s="12" t="s">
        <v>11</v>
      </c>
      <c r="C22" s="13"/>
      <c r="D22" s="13"/>
      <c r="E22" s="13"/>
      <c r="F22" s="14"/>
    </row>
    <row r="23" spans="1:6" x14ac:dyDescent="0.3">
      <c r="A23" s="11" t="s">
        <v>13</v>
      </c>
      <c r="B23" s="12" t="s">
        <v>14</v>
      </c>
      <c r="C23" s="13"/>
      <c r="D23" s="13"/>
      <c r="E23" s="13"/>
      <c r="F23" s="14"/>
    </row>
    <row r="24" spans="1:6" ht="15" thickBot="1" x14ac:dyDescent="0.35">
      <c r="A24" s="15" t="s">
        <v>16</v>
      </c>
      <c r="B24" s="16" t="s">
        <v>15</v>
      </c>
      <c r="C24" s="17"/>
      <c r="D24" s="17"/>
      <c r="E24" s="17"/>
      <c r="F24" s="18"/>
    </row>
    <row r="25" spans="1:6" x14ac:dyDescent="0.3">
      <c r="A25" s="5"/>
      <c r="B25" s="5"/>
    </row>
    <row r="26" spans="1:6" x14ac:dyDescent="0.3">
      <c r="A26" s="5"/>
      <c r="B26" s="5"/>
    </row>
    <row r="27" spans="1:6" x14ac:dyDescent="0.3">
      <c r="A27" s="5"/>
      <c r="B27" s="5"/>
    </row>
    <row r="28" spans="1:6" x14ac:dyDescent="0.3">
      <c r="A28" s="5"/>
      <c r="B28" s="5"/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Mizrahi</dc:creator>
  <cp:lastModifiedBy>Tal Mizrahi</cp:lastModifiedBy>
  <dcterms:created xsi:type="dcterms:W3CDTF">2025-11-25T11:30:18Z</dcterms:created>
  <dcterms:modified xsi:type="dcterms:W3CDTF">2025-11-25T12:03:23Z</dcterms:modified>
</cp:coreProperties>
</file>